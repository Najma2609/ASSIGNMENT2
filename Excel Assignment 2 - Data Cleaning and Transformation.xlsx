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jma\OneDrive\Desktop\SESSION PRACTICE\"/>
    </mc:Choice>
  </mc:AlternateContent>
  <xr:revisionPtr revIDLastSave="0" documentId="13_ncr:1_{6A9C91A4-15AC-41DB-A519-E385DD695E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SWERS" sheetId="4" r:id="rId1"/>
    <sheet name="Instructions" sheetId="1" r:id="rId2"/>
    <sheet name="Dataset" sheetId="2" r:id="rId3"/>
  </sheets>
  <definedNames>
    <definedName name="ExternalData_1" localSheetId="0" hidden="1">ANSWERS!$A$1:$I$32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2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904E4B-7B98-46F5-8E16-D9CB43412074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<sst xmlns="http://schemas.openxmlformats.org/spreadsheetml/2006/main" count="321" uniqueCount="133">
  <si>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</si>
  <si>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</si>
  <si>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</si>
  <si>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</si>
  <si>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</si>
  <si>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</si>
  <si>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</si>
  <si>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</si>
  <si>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</si>
  <si>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</si>
  <si>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</si>
  <si>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</si>
  <si>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</si>
  <si>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</si>
  <si>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</si>
  <si>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</si>
  <si>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</si>
  <si>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</si>
  <si>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</si>
  <si>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</si>
  <si>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</si>
  <si>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</si>
  <si>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</si>
  <si>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</si>
  <si>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</si>
  <si>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</si>
  <si>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</si>
  <si>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</si>
  <si>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</si>
  <si>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</si>
  <si>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</si>
  <si>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</si>
  <si>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</si>
  <si>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</si>
  <si>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</si>
  <si>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</si>
  <si>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</si>
  <si>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</si>
  <si>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</si>
  <si>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</si>
  <si>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</si>
  <si>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</si>
  <si>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</si>
  <si>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</si>
  <si>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</si>
  <si>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</si>
  <si>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</si>
  <si>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</si>
  <si>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</si>
  <si>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</si>
  <si>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</si>
  <si>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</si>
  <si>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</si>
  <si>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</si>
  <si>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</si>
  <si>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</si>
  <si>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</si>
  <si>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</si>
  <si>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</si>
  <si>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</si>
  <si>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</si>
  <si>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</si>
  <si>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</si>
  <si>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</si>
  <si>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</si>
  <si>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</si>
  <si>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</si>
  <si>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</si>
  <si>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</si>
  <si>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</si>
  <si>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</si>
  <si>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</si>
  <si>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</si>
  <si>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</si>
  <si>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</si>
  <si>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</si>
  <si>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</si>
  <si>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</si>
  <si>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</si>
  <si>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</si>
  <si>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</si>
  <si>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</si>
  <si>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</si>
  <si>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</si>
  <si>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</si>
  <si>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</si>
  <si>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</si>
  <si>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</si>
  <si>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</si>
  <si>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</si>
  <si>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</si>
  <si>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</si>
  <si>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</si>
  <si>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</si>
  <si>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</si>
  <si>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</si>
  <si>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</si>
  <si>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</si>
  <si>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</si>
  <si>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</si>
  <si>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</si>
  <si>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</si>
  <si>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</si>
  <si>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</si>
  <si>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</si>
  <si>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</si>
  <si>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</si>
  <si>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</si>
  <si>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</si>
  <si>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</si>
  <si>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</si>
  <si>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</si>
  <si>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</si>
  <si>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</si>
  <si>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</si>
  <si>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</si>
  <si>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20</t>
  </si>
  <si>
    <t>50</t>
  </si>
  <si>
    <t>Levi'S</t>
  </si>
  <si>
    <t>5</t>
  </si>
  <si>
    <t>10</t>
  </si>
  <si>
    <t>30</t>
  </si>
  <si>
    <t>40</t>
  </si>
  <si>
    <t>25</t>
  </si>
  <si>
    <t>45</t>
  </si>
  <si>
    <t>Unknown</t>
  </si>
  <si>
    <t>15</t>
  </si>
  <si>
    <t>35</t>
  </si>
  <si>
    <t>Hp</t>
  </si>
  <si>
    <t>T-Shirt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</si>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</sst>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14C09]dd/mm/yyyy;@"/>
    <numFmt numFmtId="170" formatCode="[$$-409]#,##0"/>
  </numFmts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center"/>
    </xf>
    <xf numFmtId="0" fontId="7" fillId="3" borderId="0" xfId="0" applyFont="1" applyFill="1"/>
    <xf numFmtId="0" fontId="2" fillId="0" borderId="0" xfId="1"/>
    <xf numFmtId="0" fontId="1" fillId="0" borderId="0" xfId="1" applyFont="1"/>
    <xf numFmtId="14" fontId="1" fillId="0" borderId="0" xfId="1" applyNumberFormat="1" applyFont="1"/>
    <xf numFmtId="14" fontId="2" fillId="0" borderId="0" xfId="1" applyNumberFormat="1"/>
    <xf numFmtId="168" fontId="2" fillId="0" borderId="0" xfId="1" applyNumberFormat="1"/>
    <xf numFmtId="170" fontId="2" fillId="0" borderId="0" xfId="1" applyNumberFormat="1"/>
  </cellXfs>
  <cellStyles count="2">
    <cellStyle name="Normal" xfId="0" builtinId="0"/>
    <cellStyle name="Normal 2" xfId="1" xr:uid="{974357CF-C7C2-4EFB-9CFC-C85C6E7DD357}"/>
  </cellStyles>
  <dxfs count="10">
    <dxf>
      <fill>
        <patternFill>
          <bgColor rgb="FF92D050"/>
        </patternFill>
      </fill>
    </dxf>
    <dxf>
      <numFmt numFmtId="0" formatCode="General"/>
    </dxf>
    <dxf>
      <numFmt numFmtId="170" formatCode="[$$-409]#,##0"/>
    </dxf>
    <dxf>
      <numFmt numFmtId="168" formatCode="[$-14C09]dd/mm/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A810C5-0827-43F3-85CF-1AB3A9A83C13}" autoFormatId="16" applyNumberFormats="0" applyBorderFormats="0" applyFontFormats="0" applyPatternFormats="0" applyAlignmentFormats="0" applyWidthHeightFormats="0">
  <queryTableRefresh nextId="11">
    <queryTableFields count="9">
      <queryTableField id="1" name="Product ID" tableColumnId="1"/>
      <queryTableField id="7" dataBound="0" tableColumnId="7"/>
      <queryTableField id="8" dataBound="0" tableColumnId="8"/>
      <queryTableField id="2" name="Product Name" tableColumnId="2"/>
      <queryTableField id="3" name="Brand Name" tableColumnId="3"/>
      <queryTableField id="9" dataBound="0" tableColumnId="9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E00FAF-7619-42F0-BD98-636CA6B305BB}" name="Dataset" displayName="Dataset" ref="A1:I32" tableType="queryTable" totalsRowShown="0">
  <autoFilter ref="A1:I32" xr:uid="{AA6CAF80-7E79-4640-B368-AF0CF3305673}"/>
  <tableColumns count="9">
    <tableColumn id="1" xr3:uid="{D2D8BA3F-0DCE-4C17-93B9-5ABF4AF7B574}" uniqueName="1" name="Product ID" queryTableFieldId="1" dataDxfId="5"/>
    <tableColumn id="7" xr3:uid="{FEF598CF-9EF0-47B3-A616-06C44FA75C3F}" uniqueName="7" name="Manufacturing Date" queryTableFieldId="7" dataDxfId="3" dataCellStyle="Normal 2">
      <calculatedColumnFormula>TEXT(DATEVALUE(LEFT(Dataset[[#This Row],[Product ID]],7)&amp;"2026"),"dd-mmmm-yyyy")</calculatedColumnFormula>
    </tableColumn>
    <tableColumn id="8" xr3:uid="{E14E10A2-A73A-46ED-9AF3-33A02C29B302}" uniqueName="8" name="Country Code" queryTableFieldId="8" dataDxfId="4" dataCellStyle="Normal 2">
      <calculatedColumnFormula>RIGHT(Dataset[[#This Row],[Product ID]],2)</calculatedColumnFormula>
    </tableColumn>
    <tableColumn id="2" xr3:uid="{3AB2587B-28A1-4E19-B248-20DC426360B3}" uniqueName="2" name="Product Name" queryTableFieldId="2" dataDxfId="9"/>
    <tableColumn id="3" xr3:uid="{2D260AD1-20DC-408F-AC6A-94F148AE26BE}" uniqueName="3" name="Brand Name" queryTableFieldId="3" dataDxfId="8"/>
    <tableColumn id="9" xr3:uid="{8D9F442D-A8BA-4867-BC5B-7655EC5FEC21}" uniqueName="9" name="Product Brand" queryTableFieldId="9" dataDxfId="1" dataCellStyle="Normal 2">
      <calculatedColumnFormula>_xlfn.CONCAT(Dataset[[#This Row],[Product Name]],"-",Dataset[[#This Row],[Brand Name]])</calculatedColumnFormula>
    </tableColumn>
    <tableColumn id="4" xr3:uid="{6C10784A-924E-48C3-B127-782B0C3A286D}" uniqueName="4" name="Price ($)" queryTableFieldId="4" dataDxfId="2"/>
    <tableColumn id="5" xr3:uid="{E8BC122A-FAC9-4A88-A455-CEBADEA0718D}" uniqueName="5" name="Quantity" queryTableFieldId="5" dataDxfId="7"/>
    <tableColumn id="6" xr3:uid="{BFB25060-542E-4C71-958E-05F9246E1EE4}" uniqueName="6" name="Category" queryTableFieldId="6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7D9F-1A45-4EDD-BA2F-866BB6BA6035}">
  <dimension ref="A1:I32"/>
  <sheetViews>
    <sheetView tabSelected="1" workbookViewId="0">
      <selection activeCell="I38" sqref="I38"/>
    </sheetView>
  </sheetViews>
  <sheetFormatPr defaultRowHeight="14.25" x14ac:dyDescent="0.2"/>
  <cols>
    <col min="1" max="1" width="24.140625" style="9" customWidth="1"/>
    <col min="2" max="2" width="27.85546875" style="12" customWidth="1"/>
    <col min="3" max="3" width="25.42578125" style="9" customWidth="1"/>
    <col min="4" max="4" width="18.5703125" style="9" customWidth="1"/>
    <col min="5" max="5" width="17" style="9" customWidth="1"/>
    <col min="6" max="6" width="27" style="9" customWidth="1"/>
    <col min="7" max="7" width="18" style="14" customWidth="1"/>
    <col min="8" max="8" width="17.140625" style="9" customWidth="1"/>
    <col min="9" max="9" width="14.42578125" style="9" customWidth="1"/>
    <col min="10" max="16384" width="9.140625" style="9"/>
  </cols>
  <sheetData>
    <row r="1" spans="1:9" x14ac:dyDescent="0.2">
      <c r="A1" s="9" t="s">
        <v>19</v>
      </c>
      <c r="B1" s="11" t="s">
        <v>130</v>
      </c>
      <c r="C1" s="10" t="s">
        <v>131</v>
      </c>
      <c r="D1" s="9" t="s">
        <v>20</v>
      </c>
      <c r="E1" s="9" t="s">
        <v>21</v>
      </c>
      <c r="F1" s="10" t="s">
        <v>132</v>
      </c>
      <c r="G1" s="14" t="s">
        <v>22</v>
      </c>
      <c r="H1" s="9" t="s">
        <v>23</v>
      </c>
      <c r="I1" s="9" t="s">
        <v>24</v>
      </c>
    </row>
    <row r="2" spans="1:9" x14ac:dyDescent="0.2">
      <c r="A2" s="9" t="s">
        <v>25</v>
      </c>
      <c r="B2" s="13" t="str">
        <f>TEXT(DATEVALUE(LEFT(Dataset[[#This Row],[Product ID]],7)&amp;"2026"),"dd-mmmm-yyyy")</f>
        <v>28-January-2026</v>
      </c>
      <c r="C2" s="9" t="str">
        <f>RIGHT(Dataset[[#This Row],[Product ID]],2)</f>
        <v>US</v>
      </c>
      <c r="D2" s="9" t="s">
        <v>61</v>
      </c>
      <c r="E2" s="9" t="s">
        <v>27</v>
      </c>
      <c r="F2" s="9" t="str">
        <f>_xlfn.CONCAT(Dataset[[#This Row],[Product Name]],"-",Dataset[[#This Row],[Brand Name]])</f>
        <v>Laptop-Dell</v>
      </c>
      <c r="G2" s="14">
        <v>1000</v>
      </c>
      <c r="H2" s="9" t="s">
        <v>121</v>
      </c>
      <c r="I2" s="9" t="s">
        <v>28</v>
      </c>
    </row>
    <row r="3" spans="1:9" x14ac:dyDescent="0.2">
      <c r="A3" s="9" t="s">
        <v>29</v>
      </c>
      <c r="B3" s="12" t="str">
        <f>TEXT(DATEVALUE(LEFT(Dataset[[#This Row],[Product ID]],7)&amp;"2026"),"dd-mmmm-yyyy")</f>
        <v>15-February-2026</v>
      </c>
      <c r="C3" s="9" t="str">
        <f>RIGHT(Dataset[[#This Row],[Product ID]],2)</f>
        <v>US</v>
      </c>
      <c r="D3" s="9" t="s">
        <v>30</v>
      </c>
      <c r="E3" s="9" t="s">
        <v>31</v>
      </c>
      <c r="F3" s="9" t="str">
        <f>_xlfn.CONCAT(Dataset[[#This Row],[Product Name]],"-",Dataset[[#This Row],[Brand Name]])</f>
        <v>Sneakers-Nike</v>
      </c>
      <c r="G3" s="14">
        <v>80</v>
      </c>
      <c r="H3" s="9" t="s">
        <v>126</v>
      </c>
      <c r="I3" s="9" t="s">
        <v>32</v>
      </c>
    </row>
    <row r="4" spans="1:9" x14ac:dyDescent="0.2">
      <c r="A4" s="9" t="s">
        <v>33</v>
      </c>
      <c r="B4" s="12" t="str">
        <f>TEXT(DATEVALUE(LEFT(Dataset[[#This Row],[Product ID]],7)&amp;"2026"),"dd-mmmm-yyyy")</f>
        <v>03-March-2026</v>
      </c>
      <c r="C4" s="9" t="str">
        <f>RIGHT(Dataset[[#This Row],[Product ID]],2)</f>
        <v>US</v>
      </c>
      <c r="D4" s="9" t="s">
        <v>34</v>
      </c>
      <c r="E4" s="9" t="s">
        <v>35</v>
      </c>
      <c r="F4" s="9" t="str">
        <f>_xlfn.CONCAT(Dataset[[#This Row],[Product Name]],"-",Dataset[[#This Row],[Brand Name]])</f>
        <v>Coffee Maker-Keurig</v>
      </c>
      <c r="G4" s="14">
        <v>130</v>
      </c>
      <c r="H4" s="9" t="s">
        <v>122</v>
      </c>
      <c r="I4" s="9" t="s">
        <v>36</v>
      </c>
    </row>
    <row r="5" spans="1:9" x14ac:dyDescent="0.2">
      <c r="A5" s="9" t="s">
        <v>37</v>
      </c>
      <c r="B5" s="12" t="str">
        <f>TEXT(DATEVALUE(LEFT(Dataset[[#This Row],[Product ID]],7)&amp;"2026"),"dd-mmmm-yyyy")</f>
        <v>11-April-2026</v>
      </c>
      <c r="C5" s="9" t="str">
        <f>RIGHT(Dataset[[#This Row],[Product ID]],2)</f>
        <v>US</v>
      </c>
      <c r="D5" s="9" t="s">
        <v>96</v>
      </c>
      <c r="E5" s="9" t="s">
        <v>39</v>
      </c>
      <c r="F5" s="9" t="str">
        <f>_xlfn.CONCAT(Dataset[[#This Row],[Product Name]],"-",Dataset[[#This Row],[Brand Name]])</f>
        <v>Smartphone-Samsung</v>
      </c>
      <c r="G5" s="14">
        <v>900</v>
      </c>
      <c r="H5" s="9" t="s">
        <v>123</v>
      </c>
      <c r="I5" s="9" t="s">
        <v>28</v>
      </c>
    </row>
    <row r="6" spans="1:9" x14ac:dyDescent="0.2">
      <c r="A6" s="9" t="s">
        <v>40</v>
      </c>
      <c r="B6" s="12" t="str">
        <f>TEXT(DATEVALUE(LEFT(Dataset[[#This Row],[Product ID]],7)&amp;"2026"),"dd-mmmm-yyyy")</f>
        <v>22-May-2026</v>
      </c>
      <c r="C6" s="9" t="str">
        <f>RIGHT(Dataset[[#This Row],[Product ID]],2)</f>
        <v>US</v>
      </c>
      <c r="D6" s="9" t="s">
        <v>41</v>
      </c>
      <c r="E6" s="9" t="s">
        <v>42</v>
      </c>
      <c r="F6" s="9" t="str">
        <f>_xlfn.CONCAT(Dataset[[#This Row],[Product Name]],"-",Dataset[[#This Row],[Brand Name]])</f>
        <v>Backpack-North Face</v>
      </c>
      <c r="G6" s="14">
        <v>70</v>
      </c>
      <c r="H6" s="9" t="s">
        <v>116</v>
      </c>
      <c r="I6" s="9" t="s">
        <v>125</v>
      </c>
    </row>
    <row r="7" spans="1:9" x14ac:dyDescent="0.2">
      <c r="A7" s="9" t="s">
        <v>43</v>
      </c>
      <c r="B7" s="12" t="str">
        <f>TEXT(DATEVALUE(LEFT(Dataset[[#This Row],[Product ID]],7)&amp;"2026"),"dd-mmmm-yyyy")</f>
        <v>07-June-2026</v>
      </c>
      <c r="C7" s="9" t="str">
        <f>RIGHT(Dataset[[#This Row],[Product ID]],2)</f>
        <v>UK</v>
      </c>
      <c r="D7" s="9" t="s">
        <v>44</v>
      </c>
      <c r="E7" s="9" t="s">
        <v>45</v>
      </c>
      <c r="F7" s="9" t="str">
        <f>_xlfn.CONCAT(Dataset[[#This Row],[Product Name]],"-",Dataset[[#This Row],[Brand Name]])</f>
        <v>Headphones-Sony</v>
      </c>
      <c r="G7" s="14">
        <v>130</v>
      </c>
      <c r="H7" s="9" t="s">
        <v>124</v>
      </c>
      <c r="I7" s="9" t="s">
        <v>28</v>
      </c>
    </row>
    <row r="8" spans="1:9" x14ac:dyDescent="0.2">
      <c r="A8" s="9" t="s">
        <v>47</v>
      </c>
      <c r="B8" s="12" t="str">
        <f>TEXT(DATEVALUE(LEFT(Dataset[[#This Row],[Product ID]],7)&amp;"2026"),"dd-mmmm-yyyy")</f>
        <v>19-July-2026</v>
      </c>
      <c r="C8" s="9" t="str">
        <f>RIGHT(Dataset[[#This Row],[Product ID]],2)</f>
        <v>UK</v>
      </c>
      <c r="D8" s="9" t="s">
        <v>129</v>
      </c>
      <c r="E8" s="9" t="s">
        <v>49</v>
      </c>
      <c r="F8" s="9" t="str">
        <f>_xlfn.CONCAT(Dataset[[#This Row],[Product Name]],"-",Dataset[[#This Row],[Brand Name]])</f>
        <v>T-Shirt-Adidas</v>
      </c>
      <c r="G8" s="14">
        <v>30</v>
      </c>
      <c r="H8" s="9" t="s">
        <v>119</v>
      </c>
      <c r="I8" s="9" t="s">
        <v>32</v>
      </c>
    </row>
    <row r="9" spans="1:9" x14ac:dyDescent="0.2">
      <c r="A9" s="9" t="s">
        <v>50</v>
      </c>
      <c r="B9" s="12" t="str">
        <f>TEXT(DATEVALUE(LEFT(Dataset[[#This Row],[Product ID]],7)&amp;"2026"),"dd-mmmm-yyyy")</f>
        <v>23-August-2026</v>
      </c>
      <c r="C9" s="9" t="str">
        <f>RIGHT(Dataset[[#This Row],[Product ID]],2)</f>
        <v>UK</v>
      </c>
      <c r="D9" s="9" t="s">
        <v>51</v>
      </c>
      <c r="E9" s="9" t="s">
        <v>52</v>
      </c>
      <c r="F9" s="9" t="str">
        <f>_xlfn.CONCAT(Dataset[[#This Row],[Product Name]],"-",Dataset[[#This Row],[Brand Name]])</f>
        <v>Blender-Ninja</v>
      </c>
      <c r="G9" s="14">
        <v>90</v>
      </c>
      <c r="H9" s="9" t="s">
        <v>127</v>
      </c>
      <c r="I9" s="9" t="s">
        <v>36</v>
      </c>
    </row>
    <row r="10" spans="1:9" x14ac:dyDescent="0.2">
      <c r="A10" s="9" t="s">
        <v>53</v>
      </c>
      <c r="B10" s="12" t="str">
        <f>TEXT(DATEVALUE(LEFT(Dataset[[#This Row],[Product ID]],7)&amp;"2026"),"dd-mmmm-yyyy")</f>
        <v>05-September-2026</v>
      </c>
      <c r="C10" s="9" t="str">
        <f>RIGHT(Dataset[[#This Row],[Product ID]],2)</f>
        <v>UK</v>
      </c>
      <c r="D10" s="9" t="s">
        <v>54</v>
      </c>
      <c r="E10" s="9" t="s">
        <v>55</v>
      </c>
      <c r="F10" s="9" t="str">
        <f>_xlfn.CONCAT(Dataset[[#This Row],[Product Name]],"-",Dataset[[#This Row],[Brand Name]])</f>
        <v>Tablet-Apple</v>
      </c>
      <c r="G10" s="14">
        <v>500</v>
      </c>
      <c r="H10" s="9" t="s">
        <v>117</v>
      </c>
      <c r="I10" s="9" t="s">
        <v>28</v>
      </c>
    </row>
    <row r="11" spans="1:9" x14ac:dyDescent="0.2">
      <c r="A11" s="9" t="s">
        <v>56</v>
      </c>
      <c r="B11" s="12" t="str">
        <f>TEXT(DATEVALUE(LEFT(Dataset[[#This Row],[Product ID]],7)&amp;"2026"),"dd-mmmm-yyyy")</f>
        <v>14-October-2026</v>
      </c>
      <c r="C11" s="9" t="str">
        <f>RIGHT(Dataset[[#This Row],[Product ID]],2)</f>
        <v>UK</v>
      </c>
      <c r="D11" s="9" t="s">
        <v>57</v>
      </c>
      <c r="E11" s="9" t="s">
        <v>58</v>
      </c>
      <c r="F11" s="9" t="str">
        <f>_xlfn.CONCAT(Dataset[[#This Row],[Product Name]],"-",Dataset[[#This Row],[Brand Name]])</f>
        <v>Hiking Boots-Timberland</v>
      </c>
      <c r="G11" s="14">
        <v>130</v>
      </c>
      <c r="H11" s="9" t="s">
        <v>120</v>
      </c>
      <c r="I11" s="9" t="s">
        <v>59</v>
      </c>
    </row>
    <row r="12" spans="1:9" x14ac:dyDescent="0.2">
      <c r="A12" s="9" t="s">
        <v>60</v>
      </c>
      <c r="B12" s="12" t="str">
        <f>TEXT(DATEVALUE(LEFT(Dataset[[#This Row],[Product ID]],7)&amp;"2026"),"dd-mmmm-yyyy")</f>
        <v>17-June-2026</v>
      </c>
      <c r="C12" s="9" t="str">
        <f>RIGHT(Dataset[[#This Row],[Product ID]],2)</f>
        <v>IN</v>
      </c>
      <c r="D12" s="9" t="s">
        <v>61</v>
      </c>
      <c r="E12" s="9" t="s">
        <v>128</v>
      </c>
      <c r="F12" s="9" t="str">
        <f>_xlfn.CONCAT(Dataset[[#This Row],[Product Name]],"-",Dataset[[#This Row],[Brand Name]])</f>
        <v>Laptop-Hp</v>
      </c>
      <c r="G12" s="14">
        <v>950</v>
      </c>
      <c r="H12" s="9" t="s">
        <v>123</v>
      </c>
      <c r="I12" s="9" t="s">
        <v>28</v>
      </c>
    </row>
    <row r="13" spans="1:9" x14ac:dyDescent="0.2">
      <c r="A13" s="9" t="s">
        <v>63</v>
      </c>
      <c r="B13" s="12" t="str">
        <f>TEXT(DATEVALUE(LEFT(Dataset[[#This Row],[Product ID]],7)&amp;"2026"),"dd-mmmm-yyyy")</f>
        <v>25-November-2026</v>
      </c>
      <c r="C13" s="9" t="str">
        <f>RIGHT(Dataset[[#This Row],[Product ID]],2)</f>
        <v>AU</v>
      </c>
      <c r="D13" s="9" t="s">
        <v>30</v>
      </c>
      <c r="E13" s="9" t="s">
        <v>49</v>
      </c>
      <c r="F13" s="9" t="str">
        <f>_xlfn.CONCAT(Dataset[[#This Row],[Product Name]],"-",Dataset[[#This Row],[Brand Name]])</f>
        <v>Sneakers-Adidas</v>
      </c>
      <c r="G13" s="14">
        <v>90</v>
      </c>
      <c r="H13" s="9" t="s">
        <v>122</v>
      </c>
      <c r="I13" s="9" t="s">
        <v>125</v>
      </c>
    </row>
    <row r="14" spans="1:9" x14ac:dyDescent="0.2">
      <c r="A14" s="9" t="s">
        <v>64</v>
      </c>
      <c r="B14" s="12" t="str">
        <f>TEXT(DATEVALUE(LEFT(Dataset[[#This Row],[Product ID]],7)&amp;"2026"),"dd-mmmm-yyyy")</f>
        <v>08-December-2026</v>
      </c>
      <c r="C14" s="9" t="str">
        <f>RIGHT(Dataset[[#This Row],[Product ID]],2)</f>
        <v>DE</v>
      </c>
      <c r="D14" s="9" t="s">
        <v>34</v>
      </c>
      <c r="E14" s="9" t="s">
        <v>65</v>
      </c>
      <c r="F14" s="9" t="str">
        <f>_xlfn.CONCAT(Dataset[[#This Row],[Product Name]],"-",Dataset[[#This Row],[Brand Name]])</f>
        <v>Coffee Maker-Nespresso</v>
      </c>
      <c r="G14" s="14">
        <v>120</v>
      </c>
      <c r="H14" s="9" t="s">
        <v>127</v>
      </c>
      <c r="I14" s="9" t="s">
        <v>125</v>
      </c>
    </row>
    <row r="15" spans="1:9" x14ac:dyDescent="0.2">
      <c r="A15" s="9" t="s">
        <v>66</v>
      </c>
      <c r="B15" s="12" t="str">
        <f>TEXT(DATEVALUE(LEFT(Dataset[[#This Row],[Product ID]],7)&amp;"2026"),"dd-mmmm-yyyy")</f>
        <v>18-February-2026</v>
      </c>
      <c r="C15" s="9" t="str">
        <f>RIGHT(Dataset[[#This Row],[Product ID]],2)</f>
        <v>CA</v>
      </c>
      <c r="D15" s="9" t="s">
        <v>67</v>
      </c>
      <c r="E15" s="9" t="s">
        <v>68</v>
      </c>
      <c r="F15" s="9" t="str">
        <f>_xlfn.CONCAT(Dataset[[#This Row],[Product Name]],"-",Dataset[[#This Row],[Brand Name]])</f>
        <v>Smartwatch-Fitbit</v>
      </c>
      <c r="G15" s="14">
        <v>150</v>
      </c>
      <c r="H15" s="9" t="s">
        <v>126</v>
      </c>
      <c r="I15" s="9" t="s">
        <v>28</v>
      </c>
    </row>
    <row r="16" spans="1:9" x14ac:dyDescent="0.2">
      <c r="A16" s="9" t="s">
        <v>69</v>
      </c>
      <c r="B16" s="12" t="str">
        <f>TEXT(DATEVALUE(LEFT(Dataset[[#This Row],[Product ID]],7)&amp;"2026"),"dd-mmmm-yyyy")</f>
        <v>16-April-2026</v>
      </c>
      <c r="C16" s="9" t="str">
        <f>RIGHT(Dataset[[#This Row],[Product ID]],2)</f>
        <v>ES</v>
      </c>
      <c r="D16" s="9" t="s">
        <v>44</v>
      </c>
      <c r="E16" s="9" t="s">
        <v>71</v>
      </c>
      <c r="F16" s="9" t="str">
        <f>_xlfn.CONCAT(Dataset[[#This Row],[Product Name]],"-",Dataset[[#This Row],[Brand Name]])</f>
        <v>Headphones-Bose</v>
      </c>
      <c r="G16" s="14">
        <v>250</v>
      </c>
      <c r="H16" s="9" t="s">
        <v>116</v>
      </c>
      <c r="I16" s="9" t="s">
        <v>28</v>
      </c>
    </row>
    <row r="17" spans="1:9" x14ac:dyDescent="0.2">
      <c r="A17" s="9" t="s">
        <v>72</v>
      </c>
      <c r="B17" s="12" t="str">
        <f>TEXT(DATEVALUE(LEFT(Dataset[[#This Row],[Product ID]],7)&amp;"2026"),"dd-mmmm-yyyy")</f>
        <v>21-August-2026</v>
      </c>
      <c r="C17" s="9" t="str">
        <f>RIGHT(Dataset[[#This Row],[Product ID]],2)</f>
        <v>CA</v>
      </c>
      <c r="D17" s="9" t="s">
        <v>73</v>
      </c>
      <c r="E17" s="9" t="s">
        <v>74</v>
      </c>
      <c r="F17" s="9" t="str">
        <f>_xlfn.CONCAT(Dataset[[#This Row],[Product Name]],"-",Dataset[[#This Row],[Brand Name]])</f>
        <v>Laptop Bag-Samsonite</v>
      </c>
      <c r="G17" s="14">
        <v>50</v>
      </c>
      <c r="H17" s="9" t="s">
        <v>127</v>
      </c>
      <c r="I17" s="9" t="s">
        <v>75</v>
      </c>
    </row>
    <row r="18" spans="1:9" x14ac:dyDescent="0.2">
      <c r="A18" s="9" t="s">
        <v>76</v>
      </c>
      <c r="B18" s="12" t="str">
        <f>TEXT(DATEVALUE(LEFT(Dataset[[#This Row],[Product ID]],7)&amp;"2026"),"dd-mmmm-yyyy")</f>
        <v>20-August-2026</v>
      </c>
      <c r="C18" s="9" t="str">
        <f>RIGHT(Dataset[[#This Row],[Product ID]],2)</f>
        <v>CN</v>
      </c>
      <c r="D18" s="9" t="s">
        <v>67</v>
      </c>
      <c r="E18" s="9" t="s">
        <v>77</v>
      </c>
      <c r="F18" s="9" t="str">
        <f>_xlfn.CONCAT(Dataset[[#This Row],[Product Name]],"-",Dataset[[#This Row],[Brand Name]])</f>
        <v>Smartwatch-Huawei</v>
      </c>
      <c r="G18" s="14">
        <v>160</v>
      </c>
      <c r="H18" s="9" t="s">
        <v>126</v>
      </c>
      <c r="I18" s="9" t="s">
        <v>28</v>
      </c>
    </row>
    <row r="19" spans="1:9" x14ac:dyDescent="0.2">
      <c r="A19" s="9" t="s">
        <v>78</v>
      </c>
      <c r="B19" s="12" t="str">
        <f>TEXT(DATEVALUE(LEFT(Dataset[[#This Row],[Product ID]],7)&amp;"2026"),"dd-mmmm-yyyy")</f>
        <v>27-January-2026</v>
      </c>
      <c r="C19" s="9" t="str">
        <f>RIGHT(Dataset[[#This Row],[Product ID]],2)</f>
        <v>IT</v>
      </c>
      <c r="D19" s="9" t="s">
        <v>61</v>
      </c>
      <c r="E19" s="9" t="s">
        <v>79</v>
      </c>
      <c r="F19" s="9" t="str">
        <f>_xlfn.CONCAT(Dataset[[#This Row],[Product Name]],"-",Dataset[[#This Row],[Brand Name]])</f>
        <v>Laptop-Asus</v>
      </c>
      <c r="G19" s="14">
        <v>980</v>
      </c>
      <c r="H19" s="9" t="s">
        <v>120</v>
      </c>
      <c r="I19" s="9" t="s">
        <v>28</v>
      </c>
    </row>
    <row r="20" spans="1:9" x14ac:dyDescent="0.2">
      <c r="A20" s="9" t="s">
        <v>80</v>
      </c>
      <c r="B20" s="12" t="str">
        <f>TEXT(DATEVALUE(LEFT(Dataset[[#This Row],[Product ID]],7)&amp;"2026"),"dd-mmmm-yyyy")</f>
        <v>01-March-2026</v>
      </c>
      <c r="C20" s="9" t="str">
        <f>RIGHT(Dataset[[#This Row],[Product ID]],2)</f>
        <v>UK</v>
      </c>
      <c r="D20" s="9" t="s">
        <v>81</v>
      </c>
      <c r="E20" s="9" t="s">
        <v>82</v>
      </c>
      <c r="F20" s="9" t="str">
        <f>_xlfn.CONCAT(Dataset[[#This Row],[Product Name]],"-",Dataset[[#This Row],[Brand Name]])</f>
        <v>Sunglasses-Oakley</v>
      </c>
      <c r="G20" s="14">
        <v>150</v>
      </c>
      <c r="H20" s="9" t="s">
        <v>126</v>
      </c>
      <c r="I20" s="9" t="s">
        <v>32</v>
      </c>
    </row>
    <row r="21" spans="1:9" x14ac:dyDescent="0.2">
      <c r="A21" s="9" t="s">
        <v>83</v>
      </c>
      <c r="B21" s="12" t="str">
        <f>TEXT(DATEVALUE(LEFT(Dataset[[#This Row],[Product ID]],7)&amp;"2026"),"dd-mmmm-yyyy")</f>
        <v>14-August-2026</v>
      </c>
      <c r="C21" s="9" t="str">
        <f>RIGHT(Dataset[[#This Row],[Product ID]],2)</f>
        <v>US</v>
      </c>
      <c r="D21" s="9" t="s">
        <v>84</v>
      </c>
      <c r="E21" s="9" t="s">
        <v>85</v>
      </c>
      <c r="F21" s="9" t="str">
        <f>_xlfn.CONCAT(Dataset[[#This Row],[Product Name]],"-",Dataset[[#This Row],[Brand Name]])</f>
        <v>Camping Tent-Coleman</v>
      </c>
      <c r="G21" s="14">
        <v>130</v>
      </c>
      <c r="H21" s="9" t="s">
        <v>120</v>
      </c>
      <c r="I21" s="9" t="s">
        <v>59</v>
      </c>
    </row>
    <row r="22" spans="1:9" x14ac:dyDescent="0.2">
      <c r="A22" s="9" t="s">
        <v>86</v>
      </c>
      <c r="B22" s="12" t="str">
        <f>TEXT(DATEVALUE(LEFT(Dataset[[#This Row],[Product ID]],7)&amp;"2026"),"dd-mmmm-yyyy")</f>
        <v>14-May-2026</v>
      </c>
      <c r="C22" s="9" t="str">
        <f>RIGHT(Dataset[[#This Row],[Product ID]],2)</f>
        <v>RU</v>
      </c>
      <c r="D22" s="9" t="s">
        <v>87</v>
      </c>
      <c r="E22" s="9" t="s">
        <v>88</v>
      </c>
      <c r="F22" s="9" t="str">
        <f>_xlfn.CONCAT(Dataset[[#This Row],[Product Name]],"-",Dataset[[#This Row],[Brand Name]])</f>
        <v>Camera-Nikon</v>
      </c>
      <c r="G22" s="14">
        <v>700</v>
      </c>
      <c r="H22" s="9" t="s">
        <v>117</v>
      </c>
      <c r="I22" s="9" t="s">
        <v>28</v>
      </c>
    </row>
    <row r="23" spans="1:9" x14ac:dyDescent="0.2">
      <c r="A23" s="9" t="s">
        <v>89</v>
      </c>
      <c r="B23" s="12" t="str">
        <f>TEXT(DATEVALUE(LEFT(Dataset[[#This Row],[Product ID]],7)&amp;"2026"),"dd-mmmm-yyyy")</f>
        <v>09-January-2026</v>
      </c>
      <c r="C23" s="9" t="str">
        <f>RIGHT(Dataset[[#This Row],[Product ID]],2)</f>
        <v>CA</v>
      </c>
      <c r="D23" s="9" t="s">
        <v>90</v>
      </c>
      <c r="E23" s="9" t="s">
        <v>91</v>
      </c>
      <c r="F23" s="9" t="str">
        <f>_xlfn.CONCAT(Dataset[[#This Row],[Product Name]],"-",Dataset[[#This Row],[Brand Name]])</f>
        <v>Microwave-Panasonic</v>
      </c>
      <c r="G23" s="14">
        <v>80</v>
      </c>
      <c r="H23" s="9" t="s">
        <v>116</v>
      </c>
      <c r="I23" s="9" t="s">
        <v>36</v>
      </c>
    </row>
    <row r="24" spans="1:9" x14ac:dyDescent="0.2">
      <c r="A24" s="9" t="s">
        <v>92</v>
      </c>
      <c r="B24" s="12" t="str">
        <f>TEXT(DATEVALUE(LEFT(Dataset[[#This Row],[Product ID]],7)&amp;"2026"),"dd-mmmm-yyyy")</f>
        <v>19-July-2026</v>
      </c>
      <c r="C24" s="9" t="str">
        <f>RIGHT(Dataset[[#This Row],[Product ID]],2)</f>
        <v>BR</v>
      </c>
      <c r="D24" s="9" t="s">
        <v>93</v>
      </c>
      <c r="E24" s="9" t="s">
        <v>94</v>
      </c>
      <c r="F24" s="9" t="str">
        <f>_xlfn.CONCAT(Dataset[[#This Row],[Product Name]],"-",Dataset[[#This Row],[Brand Name]])</f>
        <v>Fitness Tracker-Xiaomi</v>
      </c>
      <c r="G24" s="14">
        <v>150</v>
      </c>
      <c r="H24" s="9" t="s">
        <v>121</v>
      </c>
      <c r="I24" s="9" t="s">
        <v>125</v>
      </c>
    </row>
    <row r="25" spans="1:9" x14ac:dyDescent="0.2">
      <c r="A25" s="9" t="s">
        <v>95</v>
      </c>
      <c r="B25" s="12" t="str">
        <f>TEXT(DATEVALUE(LEFT(Dataset[[#This Row],[Product ID]],7)&amp;"2026"),"dd-mmmm-yyyy")</f>
        <v>29-September-2026</v>
      </c>
      <c r="C25" s="9" t="str">
        <f>RIGHT(Dataset[[#This Row],[Product ID]],2)</f>
        <v>CA</v>
      </c>
      <c r="D25" s="9" t="s">
        <v>96</v>
      </c>
      <c r="E25" s="9" t="s">
        <v>97</v>
      </c>
      <c r="F25" s="9" t="str">
        <f>_xlfn.CONCAT(Dataset[[#This Row],[Product Name]],"-",Dataset[[#This Row],[Brand Name]])</f>
        <v>Smartphone-Google</v>
      </c>
      <c r="G25" s="14">
        <v>800</v>
      </c>
      <c r="H25" s="9" t="s">
        <v>124</v>
      </c>
      <c r="I25" s="9" t="s">
        <v>28</v>
      </c>
    </row>
    <row r="26" spans="1:9" x14ac:dyDescent="0.2">
      <c r="A26" s="9" t="s">
        <v>98</v>
      </c>
      <c r="B26" s="12" t="str">
        <f>TEXT(DATEVALUE(LEFT(Dataset[[#This Row],[Product ID]],7)&amp;"2026"),"dd-mmmm-yyyy")</f>
        <v>03-June-2026</v>
      </c>
      <c r="C26" s="9" t="str">
        <f>RIGHT(Dataset[[#This Row],[Product ID]],2)</f>
        <v>CA</v>
      </c>
      <c r="D26" s="9" t="s">
        <v>81</v>
      </c>
      <c r="E26" s="9" t="s">
        <v>99</v>
      </c>
      <c r="F26" s="9" t="str">
        <f>_xlfn.CONCAT(Dataset[[#This Row],[Product Name]],"-",Dataset[[#This Row],[Brand Name]])</f>
        <v>Sunglasses-Ray-Ban</v>
      </c>
      <c r="G26" s="14">
        <v>130</v>
      </c>
      <c r="H26" s="9" t="s">
        <v>123</v>
      </c>
      <c r="I26" s="9" t="s">
        <v>32</v>
      </c>
    </row>
    <row r="27" spans="1:9" x14ac:dyDescent="0.2">
      <c r="A27" s="9" t="s">
        <v>100</v>
      </c>
      <c r="B27" s="12" t="str">
        <f>TEXT(DATEVALUE(LEFT(Dataset[[#This Row],[Product ID]],7)&amp;"2026"),"dd-mmmm-yyyy")</f>
        <v>11-July-2026</v>
      </c>
      <c r="C27" s="9" t="str">
        <f>RIGHT(Dataset[[#This Row],[Product ID]],2)</f>
        <v>CA</v>
      </c>
      <c r="D27" s="9" t="s">
        <v>51</v>
      </c>
      <c r="E27" s="9" t="s">
        <v>101</v>
      </c>
      <c r="F27" s="9" t="str">
        <f>_xlfn.CONCAT(Dataset[[#This Row],[Product Name]],"-",Dataset[[#This Row],[Brand Name]])</f>
        <v>Blender-Vitamix</v>
      </c>
      <c r="G27" s="14">
        <v>400</v>
      </c>
      <c r="H27" s="9" t="s">
        <v>122</v>
      </c>
      <c r="I27" s="9" t="s">
        <v>36</v>
      </c>
    </row>
    <row r="28" spans="1:9" x14ac:dyDescent="0.2">
      <c r="A28" s="9" t="s">
        <v>102</v>
      </c>
      <c r="B28" s="12" t="str">
        <f>TEXT(DATEVALUE(LEFT(Dataset[[#This Row],[Product ID]],7)&amp;"2026"),"dd-mmmm-yyyy")</f>
        <v>07-March-2026</v>
      </c>
      <c r="C28" s="9" t="str">
        <f>RIGHT(Dataset[[#This Row],[Product ID]],2)</f>
        <v>CA</v>
      </c>
      <c r="D28" s="9" t="s">
        <v>103</v>
      </c>
      <c r="E28" s="9" t="s">
        <v>104</v>
      </c>
      <c r="F28" s="9" t="str">
        <f>_xlfn.CONCAT(Dataset[[#This Row],[Product Name]],"-",Dataset[[#This Row],[Brand Name]])</f>
        <v>Dress-Zara</v>
      </c>
      <c r="G28" s="14">
        <v>60</v>
      </c>
      <c r="H28" s="9" t="s">
        <v>121</v>
      </c>
      <c r="I28" s="9" t="s">
        <v>32</v>
      </c>
    </row>
    <row r="29" spans="1:9" x14ac:dyDescent="0.2">
      <c r="A29" s="9" t="s">
        <v>105</v>
      </c>
      <c r="B29" s="12" t="str">
        <f>TEXT(DATEVALUE(LEFT(Dataset[[#This Row],[Product ID]],7)&amp;"2026"),"dd-mmmm-yyyy")</f>
        <v>13-April-2026</v>
      </c>
      <c r="C29" s="9" t="str">
        <f>RIGHT(Dataset[[#This Row],[Product ID]],2)</f>
        <v>CA</v>
      </c>
      <c r="D29" s="9" t="s">
        <v>106</v>
      </c>
      <c r="E29" s="9" t="s">
        <v>107</v>
      </c>
      <c r="F29" s="9" t="str">
        <f>_xlfn.CONCAT(Dataset[[#This Row],[Product Name]],"-",Dataset[[#This Row],[Brand Name]])</f>
        <v>Toaster-Hamilton</v>
      </c>
      <c r="G29" s="14">
        <v>40</v>
      </c>
      <c r="H29" s="9" t="s">
        <v>120</v>
      </c>
      <c r="I29" s="9" t="s">
        <v>36</v>
      </c>
    </row>
    <row r="30" spans="1:9" x14ac:dyDescent="0.2">
      <c r="A30" s="9" t="s">
        <v>108</v>
      </c>
      <c r="B30" s="12" t="str">
        <f>TEXT(DATEVALUE(LEFT(Dataset[[#This Row],[Product ID]],7)&amp;"2026"),"dd-mmmm-yyyy")</f>
        <v>24-May-2026</v>
      </c>
      <c r="C30" s="9" t="str">
        <f>RIGHT(Dataset[[#This Row],[Product ID]],2)</f>
        <v>CA</v>
      </c>
      <c r="D30" s="9" t="s">
        <v>93</v>
      </c>
      <c r="E30" s="9" t="s">
        <v>109</v>
      </c>
      <c r="F30" s="9" t="str">
        <f>_xlfn.CONCAT(Dataset[[#This Row],[Product Name]],"-",Dataset[[#This Row],[Brand Name]])</f>
        <v>Fitness Tracker-Garmin</v>
      </c>
      <c r="G30" s="14">
        <v>130</v>
      </c>
      <c r="H30" s="9" t="s">
        <v>119</v>
      </c>
      <c r="I30" s="9" t="s">
        <v>28</v>
      </c>
    </row>
    <row r="31" spans="1:9" x14ac:dyDescent="0.2">
      <c r="A31" s="9" t="s">
        <v>110</v>
      </c>
      <c r="B31" s="12" t="str">
        <f>TEXT(DATEVALUE(LEFT(Dataset[[#This Row],[Product ID]],7)&amp;"2026"),"dd-mmmm-yyyy")</f>
        <v>02-December-2026</v>
      </c>
      <c r="C31" s="9" t="str">
        <f>RIGHT(Dataset[[#This Row],[Product ID]],2)</f>
        <v>CA</v>
      </c>
      <c r="D31" s="9" t="s">
        <v>111</v>
      </c>
      <c r="E31" s="10" t="s">
        <v>118</v>
      </c>
      <c r="F31" s="9" t="str">
        <f>_xlfn.CONCAT(Dataset[[#This Row],[Product Name]],"-",Dataset[[#This Row],[Brand Name]])</f>
        <v>Jeans-Levi'S</v>
      </c>
      <c r="G31" s="14">
        <v>50</v>
      </c>
      <c r="H31" s="9" t="s">
        <v>117</v>
      </c>
      <c r="I31" s="9" t="s">
        <v>32</v>
      </c>
    </row>
    <row r="32" spans="1:9" x14ac:dyDescent="0.2">
      <c r="A32" s="9" t="s">
        <v>113</v>
      </c>
      <c r="B32" s="12" t="str">
        <f>TEXT(DATEVALUE(LEFT(Dataset[[#This Row],[Product ID]],7)&amp;"2026"),"dd-mmmm-yyyy")</f>
        <v>09-July-2026</v>
      </c>
      <c r="C32" s="9" t="str">
        <f>RIGHT(Dataset[[#This Row],[Product ID]],2)</f>
        <v>FR</v>
      </c>
      <c r="D32" s="9" t="s">
        <v>114</v>
      </c>
      <c r="E32" s="9" t="s">
        <v>115</v>
      </c>
      <c r="F32" s="9" t="str">
        <f>_xlfn.CONCAT(Dataset[[#This Row],[Product Name]],"-",Dataset[[#This Row],[Brand Name]])</f>
        <v>Watch-Casio</v>
      </c>
      <c r="G32" s="14">
        <v>100</v>
      </c>
      <c r="H32" s="9" t="s">
        <v>116</v>
      </c>
      <c r="I32" s="9" t="s">
        <v>75</v>
      </c>
    </row>
  </sheetData>
  <phoneticPr fontId="10" type="noConversion"/>
  <conditionalFormatting sqref="G1:G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{0CE97D64-B171-4AA0-B736-6562D3FF0EB3}</x14:id>
        </ext>
      </extLst>
    </cfRule>
  </conditionalFormatting>
  <conditionalFormatting sqref="I1:I1048576">
    <cfRule type="containsText" dxfId="0" priority="1" operator="containsText" text="electronics">
      <formula>NOT(ISERROR(SEARCH("electronics",I1)))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E97D64-B171-4AA0-B736-6562D3FF0EB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E35" sqref="E35"/>
    </sheetView>
  </sheetViews>
  <sheetFormatPr defaultColWidth="12.5703125" defaultRowHeight="15" customHeight="1" x14ac:dyDescent="0.2"/>
  <cols>
    <col min="1" max="6" width="12.5703125" customWidth="1"/>
  </cols>
  <sheetData>
    <row r="1" spans="1:16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BCF71E-9B3A-4B7D-98B5-9E25B6DA27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Najma Ashraf Ali</cp:lastModifiedBy>
  <dcterms:modified xsi:type="dcterms:W3CDTF">2026-10-04T19:52:23Z</dcterms:modified>
</cp:coreProperties>
</file>